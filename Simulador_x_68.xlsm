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jael Ander\Downloads\"/>
    </mc:Choice>
  </mc:AlternateContent>
  <xr:revisionPtr revIDLastSave="0" documentId="13_ncr:1_{F808597F-8D43-4E97-95A8-189192D32D48}" xr6:coauthVersionLast="47" xr6:coauthVersionMax="47" xr10:uidLastSave="{00000000-0000-0000-0000-000000000000}"/>
  <bookViews>
    <workbookView xWindow="-108" yWindow="-108" windowWidth="23256" windowHeight="12456" xr2:uid="{B469EEFD-672D-4A55-B50F-1C5C63232F6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4" i="1" l="1"/>
  <c r="D44" i="1"/>
  <c r="C44" i="1"/>
  <c r="C33" i="1"/>
  <c r="C34" i="1"/>
  <c r="C35" i="1"/>
  <c r="E33" i="1"/>
  <c r="E34" i="1"/>
  <c r="E35" i="1"/>
  <c r="E36" i="1"/>
  <c r="E37" i="1"/>
  <c r="E38" i="1"/>
  <c r="E39" i="1"/>
  <c r="E40" i="1"/>
  <c r="D33" i="1"/>
  <c r="D34" i="1"/>
  <c r="D35" i="1"/>
  <c r="D36" i="1"/>
  <c r="D37" i="1"/>
  <c r="D38" i="1"/>
  <c r="D39" i="1"/>
  <c r="D40" i="1"/>
  <c r="C38" i="1"/>
  <c r="C40" i="1"/>
  <c r="C39" i="1"/>
  <c r="C37" i="1"/>
  <c r="C36" i="1"/>
  <c r="V9" i="1" l="1"/>
  <c r="Y16" i="1"/>
  <c r="Y17" i="1"/>
  <c r="Y18" i="1"/>
  <c r="Y19" i="1"/>
  <c r="Y20" i="1"/>
  <c r="Y21" i="1"/>
  <c r="Y23" i="1"/>
  <c r="Y24" i="1"/>
  <c r="Y25" i="1"/>
  <c r="Y26" i="1"/>
  <c r="Y27" i="1"/>
  <c r="Y28" i="1"/>
  <c r="W16" i="1"/>
  <c r="W17" i="1"/>
  <c r="W18" i="1"/>
  <c r="W19" i="1"/>
  <c r="W20" i="1"/>
  <c r="W21" i="1"/>
  <c r="W23" i="1"/>
  <c r="W24" i="1"/>
  <c r="W25" i="1"/>
  <c r="W26" i="1"/>
  <c r="W27" i="1"/>
  <c r="W28" i="1"/>
  <c r="Y9" i="1"/>
  <c r="V16" i="1"/>
  <c r="V17" i="1"/>
  <c r="V18" i="1"/>
  <c r="V19" i="1"/>
  <c r="V20" i="1"/>
  <c r="V21" i="1"/>
  <c r="V23" i="1"/>
  <c r="V24" i="1"/>
  <c r="V25" i="1"/>
  <c r="V26" i="1"/>
  <c r="V27" i="1"/>
  <c r="V2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9" i="1"/>
  <c r="W13" i="1"/>
  <c r="Y11" i="1"/>
  <c r="V10" i="1"/>
  <c r="W12" i="1"/>
  <c r="V14" i="1"/>
  <c r="W15" i="1"/>
  <c r="Y15" i="1" l="1"/>
  <c r="V13" i="1"/>
  <c r="W14" i="1"/>
  <c r="Y14" i="1"/>
  <c r="V15" i="1"/>
  <c r="Y13" i="1"/>
  <c r="V12" i="1"/>
  <c r="Y12" i="1"/>
  <c r="W9" i="1"/>
  <c r="Y10" i="1"/>
  <c r="W11" i="1"/>
  <c r="W10" i="1"/>
  <c r="V11" i="1"/>
  <c r="E41" i="1"/>
  <c r="C41" i="1"/>
  <c r="C42" i="1"/>
  <c r="C43" i="1"/>
  <c r="E42" i="1"/>
  <c r="E43" i="1"/>
  <c r="D41" i="1"/>
  <c r="D42" i="1"/>
  <c r="D43" i="1"/>
  <c r="V22" i="1" l="1"/>
  <c r="W22" i="1"/>
  <c r="Y22" i="1"/>
</calcChain>
</file>

<file path=xl/sharedStrings.xml><?xml version="1.0" encoding="utf-8"?>
<sst xmlns="http://schemas.openxmlformats.org/spreadsheetml/2006/main" count="74" uniqueCount="47">
  <si>
    <t>Codigo</t>
  </si>
  <si>
    <t>Entradas</t>
  </si>
  <si>
    <t>Contador</t>
  </si>
  <si>
    <t>Acomulador</t>
  </si>
  <si>
    <t>Estado</t>
  </si>
  <si>
    <t>Zero Flag</t>
  </si>
  <si>
    <t>Negative Falg</t>
  </si>
  <si>
    <t>Salida</t>
  </si>
  <si>
    <t>Memoria Ram</t>
  </si>
  <si>
    <t>Memoria virtual</t>
  </si>
  <si>
    <t>REGISTROS</t>
  </si>
  <si>
    <t>Operaciones</t>
  </si>
  <si>
    <t>Comando</t>
  </si>
  <si>
    <t>Origen</t>
  </si>
  <si>
    <t>Destino</t>
  </si>
  <si>
    <t>Swap Flag</t>
  </si>
  <si>
    <t>Entrada A</t>
  </si>
  <si>
    <t>Entrada B</t>
  </si>
  <si>
    <t>Salida 1</t>
  </si>
  <si>
    <t>Cache</t>
  </si>
  <si>
    <t>IF</t>
  </si>
  <si>
    <t>ID</t>
  </si>
  <si>
    <t>EX</t>
  </si>
  <si>
    <t>MEM</t>
  </si>
  <si>
    <t>WB</t>
  </si>
  <si>
    <t>Pipeline</t>
  </si>
  <si>
    <t>EAX</t>
  </si>
  <si>
    <t>EBX</t>
  </si>
  <si>
    <t>ECX</t>
  </si>
  <si>
    <t>EDX</t>
  </si>
  <si>
    <t>MOVE</t>
  </si>
  <si>
    <t>BUS ESTADOS</t>
  </si>
  <si>
    <t>BUS DATOS</t>
  </si>
  <si>
    <t>BUFFER (INPUT)</t>
  </si>
  <si>
    <t>TECLADO</t>
  </si>
  <si>
    <t>ASCII</t>
  </si>
  <si>
    <t>Memoria de Video</t>
  </si>
  <si>
    <t>Monitor</t>
  </si>
  <si>
    <t>#0000FF</t>
  </si>
  <si>
    <t>IRET</t>
  </si>
  <si>
    <t>R1</t>
  </si>
  <si>
    <t>INTERRUPCION ESTADO</t>
  </si>
  <si>
    <t>Pag: 0</t>
  </si>
  <si>
    <t>Overflow Flag</t>
  </si>
  <si>
    <t>JNZ</t>
  </si>
  <si>
    <t>R2</t>
  </si>
  <si>
    <t>HALT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</si>
</sst>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46F6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0C0C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0" fillId="0" borderId="9" xfId="0" applyBorder="1"/>
    <xf numFmtId="0" fontId="0" fillId="5" borderId="1" xfId="0" applyFill="1" applyBorder="1"/>
    <xf numFmtId="0" fontId="2" fillId="0" borderId="1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6" borderId="1" xfId="0" applyFill="1" applyBorder="1"/>
    <xf numFmtId="0" fontId="0" fillId="7" borderId="1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1" xfId="0" applyFill="1" applyBorder="1"/>
    <xf numFmtId="0" fontId="0" fillId="8" borderId="3" xfId="0" applyFill="1" applyBorder="1"/>
    <xf numFmtId="0" fontId="3" fillId="0" borderId="2" xfId="0" applyFont="1" applyBorder="1"/>
    <xf numFmtId="0" fontId="6" fillId="8" borderId="1" xfId="0" applyFont="1" applyFill="1" applyBorder="1"/>
    <xf numFmtId="0" fontId="6" fillId="3" borderId="1" xfId="0" applyFont="1" applyFill="1" applyBorder="1"/>
    <xf numFmtId="0" fontId="0" fillId="7" borderId="0" xfId="0" applyFill="1"/>
    <xf numFmtId="0" fontId="0" fillId="4" borderId="2" xfId="0" applyFill="1" applyBorder="1"/>
    <xf numFmtId="0" fontId="0" fillId="4" borderId="11" xfId="0" applyFill="1" applyBorder="1"/>
    <xf numFmtId="0" fontId="0" fillId="10" borderId="4" xfId="0" applyFill="1" applyBorder="1"/>
    <xf numFmtId="0" fontId="0" fillId="11" borderId="8" xfId="0" applyFill="1" applyBorder="1"/>
    <xf numFmtId="0" fontId="0" fillId="0" borderId="1" xfId="0" applyFill="1" applyBorder="1"/>
    <xf numFmtId="0" fontId="0" fillId="10" borderId="1" xfId="0" applyFill="1" applyBorder="1"/>
    <xf numFmtId="0" fontId="0" fillId="0" borderId="0" xfId="0" applyFill="1"/>
    <xf numFmtId="0" fontId="0" fillId="12" borderId="0" xfId="0" applyFill="1"/>
    <xf numFmtId="0" fontId="0" fillId="14" borderId="1" xfId="0" applyFill="1" applyBorder="1"/>
    <xf numFmtId="0" fontId="0" fillId="0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ill="1" applyBorder="1"/>
    <xf numFmtId="0" fontId="0" fillId="15" borderId="1" xfId="0" applyFill="1" applyBorder="1"/>
    <xf numFmtId="0" fontId="3" fillId="10" borderId="4" xfId="0" applyFont="1" applyFill="1" applyBorder="1"/>
    <xf numFmtId="0" fontId="0" fillId="11" borderId="1" xfId="0" applyFill="1" applyBorder="1"/>
    <xf numFmtId="0" fontId="0" fillId="16" borderId="1" xfId="0" applyFill="1" applyBorder="1"/>
    <xf numFmtId="0" fontId="0" fillId="0" borderId="0" xfId="0" applyFont="1"/>
    <xf numFmtId="0" fontId="0" fillId="10" borderId="3" xfId="0" applyFill="1" applyBorder="1"/>
    <xf numFmtId="0" fontId="0" fillId="10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6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205421</xdr:colOff>
      <xdr:row>15</xdr:row>
      <xdr:rowOff>92017</xdr:rowOff>
    </xdr:from>
    <xdr:to>
      <xdr:col>14</xdr:col>
      <xdr:colOff>190181</xdr:colOff>
      <xdr:row>20</xdr:row>
      <xdr:rowOff>117054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83256" y="2987617"/>
          <a:ext cx="2351443" cy="921508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12</xdr:col>
      <xdr:colOff>560295</xdr:colOff>
      <xdr:row>8</xdr:row>
      <xdr:rowOff>156242</xdr:rowOff>
    </xdr:from>
    <xdr:to>
      <xdr:col>12</xdr:col>
      <xdr:colOff>595130</xdr:colOff>
      <xdr:row>15</xdr:row>
      <xdr:rowOff>92017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0"/>
        </xdr:cNvCxnSpPr>
      </xdr:nvCxnSpPr>
      <xdr:spPr>
        <a:xfrm flipH="1" flipV="1">
          <a:off x="10027024" y="1796783"/>
          <a:ext cx="34835" cy="11908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66404</xdr:colOff>
      <xdr:row>16</xdr:row>
      <xdr:rowOff>182306</xdr:rowOff>
    </xdr:from>
    <xdr:to>
      <xdr:col>11</xdr:col>
      <xdr:colOff>164432</xdr:colOff>
      <xdr:row>17</xdr:row>
      <xdr:rowOff>142029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007246" y="3350622"/>
          <a:ext cx="892112" cy="14420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772886</xdr:colOff>
      <xdr:row>16</xdr:row>
      <xdr:rowOff>109946</xdr:rowOff>
    </xdr:from>
    <xdr:to>
      <xdr:col>7</xdr:col>
      <xdr:colOff>298269</xdr:colOff>
      <xdr:row>18</xdr:row>
      <xdr:rowOff>1088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46172" y="3255917"/>
          <a:ext cx="1114697" cy="261257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779932</xdr:colOff>
      <xdr:row>4</xdr:row>
      <xdr:rowOff>71718</xdr:rowOff>
    </xdr:from>
    <xdr:to>
      <xdr:col>13</xdr:col>
      <xdr:colOff>272716</xdr:colOff>
      <xdr:row>4</xdr:row>
      <xdr:rowOff>72190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750353" y="905907"/>
          <a:ext cx="5845458" cy="4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264694</xdr:colOff>
      <xdr:row>4</xdr:row>
      <xdr:rowOff>64169</xdr:rowOff>
    </xdr:from>
    <xdr:to>
      <xdr:col>13</xdr:col>
      <xdr:colOff>264694</xdr:colOff>
      <xdr:row>8</xdr:row>
      <xdr:rowOff>84221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10587789" y="898358"/>
          <a:ext cx="0" cy="770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44823</xdr:colOff>
      <xdr:row>8</xdr:row>
      <xdr:rowOff>72189</xdr:rowOff>
    </xdr:from>
    <xdr:to>
      <xdr:col>13</xdr:col>
      <xdr:colOff>272716</xdr:colOff>
      <xdr:row>8</xdr:row>
      <xdr:rowOff>89647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10901082" y="1623083"/>
          <a:ext cx="227893" cy="174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124691</xdr:rowOff>
    </xdr:from>
    <xdr:to>
      <xdr:col>0</xdr:col>
      <xdr:colOff>788505</xdr:colOff>
      <xdr:row>4</xdr:row>
      <xdr:rowOff>125897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 flipV="1">
          <a:off x="356755" y="9559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353292</xdr:colOff>
      <xdr:row>5</xdr:row>
      <xdr:rowOff>93519</xdr:rowOff>
    </xdr:from>
    <xdr:to>
      <xdr:col>0</xdr:col>
      <xdr:colOff>785042</xdr:colOff>
      <xdr:row>5</xdr:row>
      <xdr:rowOff>94725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353292" y="11083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356756</xdr:colOff>
      <xdr:row>4</xdr:row>
      <xdr:rowOff>114300</xdr:rowOff>
    </xdr:from>
    <xdr:to>
      <xdr:col>0</xdr:col>
      <xdr:colOff>359229</xdr:colOff>
      <xdr:row>9</xdr:row>
      <xdr:rowOff>97971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356756" y="1028700"/>
          <a:ext cx="2473" cy="952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365145</xdr:colOff>
      <xdr:row>32</xdr:row>
      <xdr:rowOff>178904</xdr:rowOff>
    </xdr:from>
    <xdr:to>
      <xdr:col>0</xdr:col>
      <xdr:colOff>689113</xdr:colOff>
      <xdr:row>33</xdr:row>
      <xdr:rowOff>7367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365145" y="6334539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297179</xdr:colOff>
      <xdr:row>14</xdr:row>
      <xdr:rowOff>174171</xdr:rowOff>
    </xdr:from>
    <xdr:to>
      <xdr:col>9</xdr:col>
      <xdr:colOff>632459</xdr:colOff>
      <xdr:row>19</xdr:row>
      <xdr:rowOff>164374</xdr:rowOff>
    </xdr:to>
    <xdr:sp macro="" textlink="">
      <xdr:nvSpPr>
        <xdr:cNvPr id="55" name="Rectangle 1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859779" y="2982685"/>
          <a:ext cx="1924594" cy="915489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246185</xdr:colOff>
      <xdr:row>6</xdr:row>
      <xdr:rowOff>5861</xdr:rowOff>
    </xdr:from>
    <xdr:to>
      <xdr:col>6</xdr:col>
      <xdr:colOff>250372</xdr:colOff>
      <xdr:row>26</xdr:row>
      <xdr:rowOff>21771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H="1" flipV="1">
          <a:off x="5112099" y="1290375"/>
          <a:ext cx="4187" cy="376059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257908</xdr:colOff>
      <xdr:row>5</xdr:row>
      <xdr:rowOff>175846</xdr:rowOff>
    </xdr:from>
    <xdr:to>
      <xdr:col>6</xdr:col>
      <xdr:colOff>246185</xdr:colOff>
      <xdr:row>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H="1">
          <a:off x="4214446" y="1189892"/>
          <a:ext cx="779585" cy="58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263770</xdr:colOff>
      <xdr:row>4</xdr:row>
      <xdr:rowOff>164124</xdr:rowOff>
    </xdr:from>
    <xdr:to>
      <xdr:col>5</xdr:col>
      <xdr:colOff>263770</xdr:colOff>
      <xdr:row>5</xdr:row>
      <xdr:rowOff>169985</xdr:rowOff>
    </xdr:to>
    <xdr:cxnSp macro="">
      <xdr:nvCxnSpPr>
        <xdr:cNvPr id="1025" name="Conector recto de flecha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CxnSpPr/>
      </xdr:nvCxnSpPr>
      <xdr:spPr>
        <a:xfrm flipV="1">
          <a:off x="4220308" y="996462"/>
          <a:ext cx="0" cy="1875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99391</xdr:rowOff>
    </xdr:from>
    <xdr:to>
      <xdr:col>3</xdr:col>
      <xdr:colOff>788505</xdr:colOff>
      <xdr:row>4</xdr:row>
      <xdr:rowOff>99391</xdr:rowOff>
    </xdr:to>
    <xdr:cxnSp macro="">
      <xdr:nvCxnSpPr>
        <xdr:cNvPr id="1042" name="Conector recto de flecha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CxnSpPr/>
      </xdr:nvCxnSpPr>
      <xdr:spPr>
        <a:xfrm>
          <a:off x="2385391" y="934278"/>
          <a:ext cx="7885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464819</xdr:colOff>
      <xdr:row>14</xdr:row>
      <xdr:rowOff>174171</xdr:rowOff>
    </xdr:from>
    <xdr:to>
      <xdr:col>9</xdr:col>
      <xdr:colOff>632459</xdr:colOff>
      <xdr:row>17</xdr:row>
      <xdr:rowOff>76744</xdr:rowOff>
    </xdr:to>
    <xdr:cxnSp macro="">
      <xdr:nvCxnSpPr>
        <xdr:cNvPr id="1029" name="Connector: Elbow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CxnSpPr>
          <a:stCxn id="55" idx="3"/>
          <a:endCxn id="55" idx="0"/>
        </xdr:cNvCxnSpPr>
      </xdr:nvCxnSpPr>
      <xdr:spPr>
        <a:xfrm flipH="1" flipV="1">
          <a:off x="6822076" y="2982685"/>
          <a:ext cx="962297" cy="457745"/>
        </a:xfrm>
        <a:prstGeom prst="bentConnector4">
          <a:avLst>
            <a:gd name="adj1" fmla="val -23756"/>
            <a:gd name="adj2" fmla="val 211771"/>
          </a:avLst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345870</xdr:colOff>
      <xdr:row>9</xdr:row>
      <xdr:rowOff>84278</xdr:rowOff>
    </xdr:from>
    <xdr:to>
      <xdr:col>0</xdr:col>
      <xdr:colOff>762000</xdr:colOff>
      <xdr:row>9</xdr:row>
      <xdr:rowOff>89647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345870" y="1904113"/>
          <a:ext cx="416130" cy="5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377687</xdr:colOff>
      <xdr:row>51</xdr:row>
      <xdr:rowOff>0</xdr:rowOff>
    </xdr:from>
    <xdr:to>
      <xdr:col>0</xdr:col>
      <xdr:colOff>701655</xdr:colOff>
      <xdr:row>51</xdr:row>
      <xdr:rowOff>13993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377687" y="9680713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381002</xdr:colOff>
      <xdr:row>11</xdr:row>
      <xdr:rowOff>35858</xdr:rowOff>
    </xdr:from>
    <xdr:to>
      <xdr:col>1</xdr:col>
      <xdr:colOff>0</xdr:colOff>
      <xdr:row>51</xdr:row>
      <xdr:rowOff>2</xdr:rowOff>
    </xdr:to>
    <xdr:cxnSp macro="">
      <xdr:nvCxnSpPr>
        <xdr:cNvPr id="37" name="Conector: angular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rot="5400000">
          <a:off x="-2983006" y="5578290"/>
          <a:ext cx="7135908" cy="407892"/>
        </a:xfrm>
        <a:prstGeom prst="bentConnector3">
          <a:avLst>
            <a:gd name="adj1" fmla="val 201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</xdr:colOff>
      <xdr:row>44</xdr:row>
      <xdr:rowOff>10885</xdr:rowOff>
    </xdr:from>
    <xdr:to>
      <xdr:col>3</xdr:col>
      <xdr:colOff>10886</xdr:colOff>
      <xdr:row>45</xdr:row>
      <xdr:rowOff>174172</xdr:rowOff>
    </xdr:to>
    <xdr:cxnSp macro="">
      <xdr:nvCxnSpPr>
        <xdr:cNvPr id="3" name="Conector recto de flecha 3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2318658" y="8371114"/>
          <a:ext cx="10885" cy="3483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10886</xdr:rowOff>
    </xdr:from>
    <xdr:to>
      <xdr:col>6</xdr:col>
      <xdr:colOff>729343</xdr:colOff>
      <xdr:row>39</xdr:row>
      <xdr:rowOff>21771</xdr:rowOff>
    </xdr:to>
    <xdr:cxnSp macro="">
      <xdr:nvCxnSpPr>
        <xdr:cNvPr id="7" name="Conector recto de flecha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4071257" y="7445829"/>
          <a:ext cx="1524000" cy="108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613834</xdr:colOff>
      <xdr:row>20</xdr:row>
      <xdr:rowOff>907</xdr:rowOff>
    </xdr:from>
    <xdr:to>
      <xdr:col>9</xdr:col>
      <xdr:colOff>635605</xdr:colOff>
      <xdr:row>36</xdr:row>
      <xdr:rowOff>159051</xdr:rowOff>
    </xdr:to>
    <xdr:cxnSp macro="">
      <xdr:nvCxnSpPr>
        <xdr:cNvPr id="14" name="Conector recto de flecha 39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8011584" y="3842657"/>
          <a:ext cx="21771" cy="30368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250372</xdr:colOff>
      <xdr:row>26</xdr:row>
      <xdr:rowOff>0</xdr:rowOff>
    </xdr:from>
    <xdr:to>
      <xdr:col>11</xdr:col>
      <xdr:colOff>0</xdr:colOff>
      <xdr:row>26</xdr:row>
      <xdr:rowOff>32657</xdr:rowOff>
    </xdr:to>
    <xdr:cxnSp macro="">
      <xdr:nvCxnSpPr>
        <xdr:cNvPr id="21" name="Conector recto 6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V="1">
          <a:off x="5116286" y="5029200"/>
          <a:ext cx="3722914" cy="326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772886</xdr:colOff>
      <xdr:row>20</xdr:row>
      <xdr:rowOff>163286</xdr:rowOff>
    </xdr:from>
    <xdr:to>
      <xdr:col>12</xdr:col>
      <xdr:colOff>783167</xdr:colOff>
      <xdr:row>24</xdr:row>
      <xdr:rowOff>52916</xdr:rowOff>
    </xdr:to>
    <xdr:cxnSp macro="">
      <xdr:nvCxnSpPr>
        <xdr:cNvPr id="31" name="Conector recto de flecha 3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 flipV="1">
          <a:off x="10657719" y="4005036"/>
          <a:ext cx="10281" cy="60929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185058</xdr:colOff>
      <xdr:row>16</xdr:row>
      <xdr:rowOff>10885</xdr:rowOff>
    </xdr:from>
    <xdr:to>
      <xdr:col>15</xdr:col>
      <xdr:colOff>10885</xdr:colOff>
      <xdr:row>16</xdr:row>
      <xdr:rowOff>21771</xdr:rowOff>
    </xdr:to>
    <xdr:cxnSp macro="">
      <xdr:nvCxnSpPr>
        <xdr:cNvPr id="39" name="Conector recto de flecha 39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1408229" y="3189514"/>
          <a:ext cx="620485" cy="108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777240</xdr:colOff>
          <xdr:row>0</xdr:row>
          <xdr:rowOff>167640</xdr:rowOff>
        </xdr:from>
        <xdr:to>
          <xdr:col>22</xdr:col>
          <xdr:colOff>7620</xdr:colOff>
          <xdr:row>2</xdr:row>
          <xdr:rowOff>175260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9181</xdr:colOff>
      <xdr:row>41</xdr:row>
      <xdr:rowOff>174435</xdr:rowOff>
    </xdr:from>
    <xdr:to>
      <xdr:col>16</xdr:col>
      <xdr:colOff>910167</xdr:colOff>
      <xdr:row>46</xdr:row>
      <xdr:rowOff>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78264" y="7794435"/>
          <a:ext cx="3282236" cy="725149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de Procesamiento Gráfico</a:t>
          </a:r>
        </a:p>
      </xdr:txBody>
    </xdr:sp>
    <xdr:clientData/>
  </xdr:twoCellAnchor>
  <xdr:twoCellAnchor>
    <xdr:from>
      <xdr:col>14</xdr:col>
      <xdr:colOff>780361</xdr:colOff>
      <xdr:row>50</xdr:row>
      <xdr:rowOff>174434</xdr:rowOff>
    </xdr:from>
    <xdr:to>
      <xdr:col>17</xdr:col>
      <xdr:colOff>0</xdr:colOff>
      <xdr:row>51</xdr:row>
      <xdr:rowOff>9180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 flipV="1">
          <a:off x="12421518" y="9575494"/>
          <a:ext cx="1716795" cy="1836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762000</xdr:colOff>
      <xdr:row>39</xdr:row>
      <xdr:rowOff>165253</xdr:rowOff>
    </xdr:from>
    <xdr:to>
      <xdr:col>16</xdr:col>
      <xdr:colOff>899711</xdr:colOff>
      <xdr:row>39</xdr:row>
      <xdr:rowOff>183614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 flipV="1">
          <a:off x="12403157" y="7546554"/>
          <a:ext cx="1716795" cy="1836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9181</xdr:colOff>
      <xdr:row>47</xdr:row>
      <xdr:rowOff>174434</xdr:rowOff>
    </xdr:from>
    <xdr:to>
      <xdr:col>15</xdr:col>
      <xdr:colOff>18361</xdr:colOff>
      <xdr:row>51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H="1" flipV="1">
          <a:off x="12439880" y="9024651"/>
          <a:ext cx="9180" cy="56002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780361</xdr:colOff>
      <xdr:row>39</xdr:row>
      <xdr:rowOff>174434</xdr:rowOff>
    </xdr:from>
    <xdr:to>
      <xdr:col>15</xdr:col>
      <xdr:colOff>9181</xdr:colOff>
      <xdr:row>41</xdr:row>
      <xdr:rowOff>165253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 flipV="1">
          <a:off x="12421518" y="7555735"/>
          <a:ext cx="18362" cy="35804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321325</xdr:colOff>
      <xdr:row>43</xdr:row>
      <xdr:rowOff>174434</xdr:rowOff>
    </xdr:from>
    <xdr:to>
      <xdr:col>13</xdr:col>
      <xdr:colOff>36723</xdr:colOff>
      <xdr:row>44</xdr:row>
      <xdr:rowOff>18361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 flipV="1">
          <a:off x="9465325" y="8290193"/>
          <a:ext cx="1423012" cy="2754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312143</xdr:colOff>
      <xdr:row>30</xdr:row>
      <xdr:rowOff>0</xdr:rowOff>
    </xdr:from>
    <xdr:to>
      <xdr:col>11</xdr:col>
      <xdr:colOff>339687</xdr:colOff>
      <xdr:row>44</xdr:row>
      <xdr:rowOff>18362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9456143" y="5728771"/>
          <a:ext cx="27544" cy="258896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9182</xdr:colOff>
      <xdr:row>29</xdr:row>
      <xdr:rowOff>174433</xdr:rowOff>
    </xdr:from>
    <xdr:to>
      <xdr:col>12</xdr:col>
      <xdr:colOff>592667</xdr:colOff>
      <xdr:row>30</xdr:row>
      <xdr:rowOff>21166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 flipV="1">
          <a:off x="6613182" y="5635433"/>
          <a:ext cx="3864318" cy="266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18361</xdr:colOff>
      <xdr:row>20</xdr:row>
      <xdr:rowOff>18361</xdr:rowOff>
    </xdr:from>
    <xdr:to>
      <xdr:col>8</xdr:col>
      <xdr:colOff>18361</xdr:colOff>
      <xdr:row>30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V="1">
          <a:off x="6610120" y="3910988"/>
          <a:ext cx="0" cy="1817783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631612</xdr:colOff>
      <xdr:row>27</xdr:row>
      <xdr:rowOff>178101</xdr:rowOff>
    </xdr:from>
    <xdr:to>
      <xdr:col>9</xdr:col>
      <xdr:colOff>173142</xdr:colOff>
      <xdr:row>32</xdr:row>
      <xdr:rowOff>168304</xdr:rowOff>
    </xdr:to>
    <xdr:sp macro="" textlink="">
      <xdr:nvSpPr>
        <xdr:cNvPr id="41" name="Rectangle 1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5648112" y="5279268"/>
          <a:ext cx="1922780" cy="889786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interrupciones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624417</xdr:colOff>
      <xdr:row>30</xdr:row>
      <xdr:rowOff>21166</xdr:rowOff>
    </xdr:from>
    <xdr:to>
      <xdr:col>12</xdr:col>
      <xdr:colOff>629644</xdr:colOff>
      <xdr:row>35</xdr:row>
      <xdr:rowOff>384</xdr:rowOff>
    </xdr:to>
    <xdr:cxnSp macro="">
      <xdr:nvCxnSpPr>
        <xdr:cNvPr id="42" name="Straight Connector 24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H="1" flipV="1">
          <a:off x="10509250" y="5662083"/>
          <a:ext cx="5227" cy="87880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317500</xdr:colOff>
      <xdr:row>50</xdr:row>
      <xdr:rowOff>158750</xdr:rowOff>
    </xdr:from>
    <xdr:to>
      <xdr:col>15</xdr:col>
      <xdr:colOff>42336</xdr:colOff>
      <xdr:row>51</xdr:row>
      <xdr:rowOff>10584</xdr:rowOff>
    </xdr:to>
    <xdr:cxnSp macro="">
      <xdr:nvCxnSpPr>
        <xdr:cNvPr id="45" name="Straight Connector 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 flipH="1" flipV="1">
          <a:off x="5334000" y="9398000"/>
          <a:ext cx="7164919" cy="3175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317501</xdr:colOff>
      <xdr:row>32</xdr:row>
      <xdr:rowOff>158750</xdr:rowOff>
    </xdr:from>
    <xdr:to>
      <xdr:col>6</xdr:col>
      <xdr:colOff>381000</xdr:colOff>
      <xdr:row>50</xdr:row>
      <xdr:rowOff>158751</xdr:rowOff>
    </xdr:to>
    <xdr:cxnSp macro="">
      <xdr:nvCxnSpPr>
        <xdr:cNvPr id="50" name="Straight Connector 14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flipH="1">
          <a:off x="5334001" y="6159500"/>
          <a:ext cx="63499" cy="323850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370417</xdr:colOff>
      <xdr:row>32</xdr:row>
      <xdr:rowOff>148167</xdr:rowOff>
    </xdr:from>
    <xdr:to>
      <xdr:col>6</xdr:col>
      <xdr:colOff>666751</xdr:colOff>
      <xdr:row>33</xdr:row>
      <xdr:rowOff>0</xdr:rowOff>
    </xdr:to>
    <xdr:cxnSp macro="">
      <xdr:nvCxnSpPr>
        <xdr:cNvPr id="54" name="Straight Connector 14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 flipH="1">
          <a:off x="5386917" y="6148917"/>
          <a:ext cx="296334" cy="317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B2:Y66"/>
  <sheetViews>
    <sheetView tabSelected="1" zoomScale="72" zoomScaleNormal="72" workbookViewId="0">
      <selection activeCell="H38" sqref="H38"/>
    </sheetView>
  </sheetViews>
  <sheetFormatPr baseColWidth="10" defaultColWidth="11.5546875" defaultRowHeight="14.4" x14ac:dyDescent="0.3"/>
  <cols>
    <col min="2" max="2" width="9.88671875" customWidth="1"/>
    <col min="3" max="3" width="12.44140625" bestFit="1" customWidth="1"/>
    <col min="4" max="4" width="13.88671875" customWidth="1"/>
    <col min="5" max="5" width="13.77734375" customWidth="1"/>
    <col min="11" max="11" width="14.21875" customWidth="1"/>
    <col min="12" max="12" width="10.5546875" customWidth="1"/>
    <col min="13" max="13" width="14.33203125" customWidth="1"/>
    <col min="17" max="17" width="13.44140625" customWidth="1"/>
  </cols>
  <sheetData>
    <row r="2" spans="2:25" ht="24.6" x14ac:dyDescent="0.55000000000000004">
      <c r="B2" s="1"/>
    </row>
    <row r="4" spans="2:25" ht="18" x14ac:dyDescent="0.4">
      <c r="B4" s="2" t="s">
        <v>1</v>
      </c>
      <c r="E4" t="s">
        <v>7</v>
      </c>
    </row>
    <row r="5" spans="2:25" x14ac:dyDescent="0.3">
      <c r="B5" s="4" t="s">
        <v>16</v>
      </c>
      <c r="C5" s="3">
        <v>1</v>
      </c>
      <c r="D5" s="5"/>
      <c r="E5" s="8" t="s">
        <v>18</v>
      </c>
      <c r="F5" s="3">
        <v>0</v>
      </c>
    </row>
    <row r="6" spans="2:25" x14ac:dyDescent="0.3">
      <c r="B6" s="4" t="s">
        <v>17</v>
      </c>
      <c r="C6" s="3">
        <v>1</v>
      </c>
      <c r="D6" s="5"/>
      <c r="H6" s="6"/>
      <c r="I6" s="7"/>
      <c r="J6" s="7"/>
      <c r="K6" s="7"/>
      <c r="L6" s="7"/>
      <c r="M6" s="7"/>
      <c r="N6" s="7"/>
      <c r="O6" s="7"/>
      <c r="P6" s="7"/>
      <c r="Q6" s="7"/>
      <c r="R6" s="7"/>
      <c r="S6" s="14"/>
    </row>
    <row r="7" spans="2:25" x14ac:dyDescent="0.3">
      <c r="H7" s="5"/>
      <c r="S7" s="15"/>
      <c r="U7" t="s">
        <v>25</v>
      </c>
    </row>
    <row r="8" spans="2:25" ht="18" x14ac:dyDescent="0.4">
      <c r="B8" s="13" t="s">
        <v>0</v>
      </c>
      <c r="C8" s="3" t="s">
        <v>12</v>
      </c>
      <c r="D8" s="3" t="s">
        <v>13</v>
      </c>
      <c r="E8" s="3" t="s">
        <v>14</v>
      </c>
      <c r="F8" s="3" t="s">
        <v>11</v>
      </c>
      <c r="H8" s="5"/>
      <c r="I8" s="10" t="s">
        <v>2</v>
      </c>
      <c r="M8" t="s">
        <v>3</v>
      </c>
      <c r="S8" s="15"/>
      <c r="U8" s="3" t="s">
        <v>20</v>
      </c>
      <c r="V8" s="3" t="s">
        <v>21</v>
      </c>
      <c r="W8" s="3" t="s">
        <v>22</v>
      </c>
      <c r="X8" s="3" t="s">
        <v>23</v>
      </c>
      <c r="Y8" s="3" t="s">
        <v>24</v>
      </c>
    </row>
    <row r="9" spans="2:25" x14ac:dyDescent="0.3">
      <c r="B9" s="3">
        <v>1</v>
      </c>
      <c r="C9" s="20" t="s">
        <v>30</v>
      </c>
      <c r="D9" s="22">
        <v>1</v>
      </c>
      <c r="E9" s="22" t="s">
        <v>40</v>
      </c>
      <c r="F9" s="22" t="s">
        <v>30</v>
      </c>
      <c r="H9" s="5"/>
      <c r="I9" s="3">
        <v>4</v>
      </c>
      <c r="M9" s="3">
        <v>0</v>
      </c>
      <c r="S9" s="15"/>
      <c r="U9" s="25">
        <f>B9</f>
        <v>1</v>
      </c>
      <c r="V9" s="59" t="str">
        <f>C9</f>
        <v>MOVE</v>
      </c>
      <c r="W9" s="59" t="str">
        <f>IF(OR(C9 = "MOVE",C9 = "RESTA",C9 = "SUMA"),"ALU","")</f>
        <v>ALU</v>
      </c>
      <c r="X9" s="59"/>
      <c r="Y9" s="58" t="str">
        <f>IF(OR(C9= "RESTA",C9 = "SUMA"),"ACUMULADOR",E9)</f>
        <v>R1</v>
      </c>
    </row>
    <row r="10" spans="2:25" x14ac:dyDescent="0.3">
      <c r="B10" s="3">
        <v>2</v>
      </c>
      <c r="C10" s="20" t="s">
        <v>44</v>
      </c>
      <c r="D10" s="22">
        <v>4</v>
      </c>
      <c r="E10" s="22"/>
      <c r="F10" s="22" t="s">
        <v>44</v>
      </c>
      <c r="H10" s="24"/>
      <c r="I10" t="s">
        <v>42</v>
      </c>
      <c r="S10" s="15"/>
      <c r="U10" s="22">
        <f t="shared" ref="U10:U28" si="0">B10</f>
        <v>2</v>
      </c>
      <c r="V10" s="59" t="str">
        <f t="shared" ref="V10:V28" si="1">C10</f>
        <v>JNZ</v>
      </c>
      <c r="W10" s="59" t="str">
        <f t="shared" ref="W10:W28" si="2">IF(OR(C10 = "MOVE",C10 = "RESTA",C10 = "SUMA"),"ALU","")</f>
        <v/>
      </c>
      <c r="X10" s="59"/>
      <c r="Y10" s="59">
        <f t="shared" ref="Y10:Y28" si="3">IF(OR(C10= "RESTA",C10 = "SUMA"),"ACUMULADOR",E10)</f>
        <v>0</v>
      </c>
    </row>
    <row r="11" spans="2:25" x14ac:dyDescent="0.3">
      <c r="B11" s="3">
        <v>3</v>
      </c>
      <c r="C11" s="20" t="s">
        <v>30</v>
      </c>
      <c r="D11" s="22">
        <v>1</v>
      </c>
      <c r="E11" s="22" t="s">
        <v>40</v>
      </c>
      <c r="F11" s="22" t="s">
        <v>30</v>
      </c>
      <c r="H11" s="5"/>
      <c r="S11" s="15"/>
      <c r="U11" s="22">
        <f t="shared" si="0"/>
        <v>3</v>
      </c>
      <c r="V11" s="59" t="str">
        <f t="shared" si="1"/>
        <v>MOVE</v>
      </c>
      <c r="W11" s="59" t="str">
        <f>IF(OR(C11="MOVE",C11="RESTA",C11="SUMA"),"ALU","")</f>
        <v>ALU</v>
      </c>
      <c r="X11" s="59"/>
      <c r="Y11" s="58" t="str">
        <f t="shared" si="3"/>
        <v>R1</v>
      </c>
    </row>
    <row r="12" spans="2:25" x14ac:dyDescent="0.3">
      <c r="B12" s="3">
        <v>4</v>
      </c>
      <c r="C12" s="20" t="s">
        <v>30</v>
      </c>
      <c r="D12" s="22" t="s">
        <v>34</v>
      </c>
      <c r="E12" s="22" t="s">
        <v>45</v>
      </c>
      <c r="F12" s="22" t="s">
        <v>30</v>
      </c>
      <c r="H12" s="5"/>
      <c r="S12" s="15"/>
      <c r="U12" s="22">
        <f t="shared" si="0"/>
        <v>4</v>
      </c>
      <c r="V12" s="59" t="str">
        <f t="shared" si="1"/>
        <v>MOVE</v>
      </c>
      <c r="W12" s="59" t="str">
        <f t="shared" si="2"/>
        <v>ALU</v>
      </c>
      <c r="X12" s="59"/>
      <c r="Y12" s="58" t="str">
        <f t="shared" si="3"/>
        <v>R2</v>
      </c>
    </row>
    <row r="13" spans="2:25" x14ac:dyDescent="0.3">
      <c r="B13" s="3">
        <v>5</v>
      </c>
      <c r="C13" s="20" t="s">
        <v>39</v>
      </c>
      <c r="D13" s="22"/>
      <c r="E13" s="22"/>
      <c r="F13" s="22" t="s">
        <v>39</v>
      </c>
      <c r="H13" s="5"/>
      <c r="P13" s="46" t="s">
        <v>4</v>
      </c>
      <c r="Q13" s="47"/>
      <c r="S13" s="15"/>
      <c r="U13" s="22">
        <f t="shared" si="0"/>
        <v>5</v>
      </c>
      <c r="V13" s="59" t="str">
        <f t="shared" si="1"/>
        <v>IRET</v>
      </c>
      <c r="W13" s="59" t="str">
        <f t="shared" si="2"/>
        <v/>
      </c>
      <c r="X13" s="59"/>
      <c r="Y13" s="59">
        <f t="shared" si="3"/>
        <v>0</v>
      </c>
    </row>
    <row r="14" spans="2:25" x14ac:dyDescent="0.3">
      <c r="B14" s="3">
        <v>6</v>
      </c>
      <c r="C14" s="57" t="s">
        <v>46</v>
      </c>
      <c r="D14" s="33"/>
      <c r="E14" s="33"/>
      <c r="F14" s="33" t="s">
        <v>46</v>
      </c>
      <c r="H14" s="5"/>
      <c r="P14" s="31">
        <v>1</v>
      </c>
      <c r="Q14" s="32" t="s">
        <v>5</v>
      </c>
      <c r="S14" s="15"/>
      <c r="U14" s="22">
        <f t="shared" si="0"/>
        <v>6</v>
      </c>
      <c r="V14" s="59" t="str">
        <f t="shared" si="1"/>
        <v>HALT</v>
      </c>
      <c r="W14" s="59" t="str">
        <f t="shared" si="2"/>
        <v/>
      </c>
      <c r="X14" s="59"/>
      <c r="Y14" s="59">
        <f t="shared" si="3"/>
        <v>0</v>
      </c>
    </row>
    <row r="15" spans="2:25" x14ac:dyDescent="0.3">
      <c r="B15" s="3">
        <v>7</v>
      </c>
      <c r="C15" s="20"/>
      <c r="D15" s="22"/>
      <c r="E15" s="22"/>
      <c r="F15" s="22"/>
      <c r="H15" s="5"/>
      <c r="P15" s="19">
        <v>0</v>
      </c>
      <c r="Q15" s="3" t="s">
        <v>43</v>
      </c>
      <c r="S15" s="15"/>
      <c r="U15" s="22">
        <f t="shared" si="0"/>
        <v>7</v>
      </c>
      <c r="V15" s="59">
        <f t="shared" si="1"/>
        <v>0</v>
      </c>
      <c r="W15" s="59" t="str">
        <f t="shared" si="2"/>
        <v/>
      </c>
      <c r="X15" s="59"/>
      <c r="Y15" s="59">
        <f t="shared" si="3"/>
        <v>0</v>
      </c>
    </row>
    <row r="16" spans="2:25" x14ac:dyDescent="0.3">
      <c r="B16" s="3">
        <v>8</v>
      </c>
      <c r="C16" s="20"/>
      <c r="D16" s="22"/>
      <c r="E16" s="22"/>
      <c r="F16" s="22"/>
      <c r="H16" s="5"/>
      <c r="P16" s="19">
        <v>0</v>
      </c>
      <c r="Q16" s="3" t="s">
        <v>6</v>
      </c>
      <c r="S16" s="15"/>
      <c r="U16" s="22">
        <f t="shared" si="0"/>
        <v>8</v>
      </c>
      <c r="V16" s="59">
        <f t="shared" si="1"/>
        <v>0</v>
      </c>
      <c r="W16" s="59" t="str">
        <f t="shared" si="2"/>
        <v/>
      </c>
      <c r="X16" s="59"/>
      <c r="Y16" s="59">
        <f t="shared" si="3"/>
        <v>0</v>
      </c>
    </row>
    <row r="17" spans="2:25" x14ac:dyDescent="0.3">
      <c r="B17" s="3">
        <v>9</v>
      </c>
      <c r="C17" s="20"/>
      <c r="D17" s="22"/>
      <c r="E17" s="22"/>
      <c r="F17" s="22"/>
      <c r="H17" s="5"/>
      <c r="P17" s="19">
        <v>0</v>
      </c>
      <c r="Q17" s="3" t="s">
        <v>15</v>
      </c>
      <c r="S17" s="15"/>
      <c r="U17" s="22">
        <f t="shared" si="0"/>
        <v>9</v>
      </c>
      <c r="V17" s="59">
        <f t="shared" si="1"/>
        <v>0</v>
      </c>
      <c r="W17" s="59" t="str">
        <f t="shared" si="2"/>
        <v/>
      </c>
      <c r="X17" s="59"/>
      <c r="Y17" s="59">
        <f t="shared" si="3"/>
        <v>0</v>
      </c>
    </row>
    <row r="18" spans="2:25" x14ac:dyDescent="0.3">
      <c r="B18" s="3">
        <v>10</v>
      </c>
      <c r="C18" s="20"/>
      <c r="D18" s="22"/>
      <c r="E18" s="22"/>
      <c r="F18" s="22"/>
      <c r="H18" s="5"/>
      <c r="S18" s="15"/>
      <c r="U18" s="22">
        <f t="shared" si="0"/>
        <v>10</v>
      </c>
      <c r="V18" s="59">
        <f t="shared" si="1"/>
        <v>0</v>
      </c>
      <c r="W18" s="59" t="str">
        <f t="shared" si="2"/>
        <v/>
      </c>
      <c r="X18" s="59"/>
      <c r="Y18" s="59">
        <f t="shared" si="3"/>
        <v>0</v>
      </c>
    </row>
    <row r="19" spans="2:25" x14ac:dyDescent="0.3">
      <c r="B19" s="3">
        <v>11</v>
      </c>
      <c r="C19" s="20"/>
      <c r="D19" s="22"/>
      <c r="E19" s="22"/>
      <c r="F19" s="22"/>
      <c r="H19" s="5"/>
      <c r="S19" s="15"/>
      <c r="U19" s="22">
        <f t="shared" si="0"/>
        <v>11</v>
      </c>
      <c r="V19" s="59">
        <f t="shared" si="1"/>
        <v>0</v>
      </c>
      <c r="W19" s="59" t="str">
        <f t="shared" si="2"/>
        <v/>
      </c>
      <c r="X19" s="59"/>
      <c r="Y19" s="59">
        <f t="shared" si="3"/>
        <v>0</v>
      </c>
    </row>
    <row r="20" spans="2:25" x14ac:dyDescent="0.3">
      <c r="B20" s="3">
        <v>12</v>
      </c>
      <c r="C20" s="20"/>
      <c r="D20" s="22"/>
      <c r="E20" s="22"/>
      <c r="F20" s="22"/>
      <c r="H20" s="5"/>
      <c r="S20" s="15"/>
      <c r="U20" s="22">
        <f t="shared" si="0"/>
        <v>12</v>
      </c>
      <c r="V20" s="59">
        <f t="shared" si="1"/>
        <v>0</v>
      </c>
      <c r="W20" s="59" t="str">
        <f t="shared" si="2"/>
        <v/>
      </c>
      <c r="X20" s="59"/>
      <c r="Y20" s="59">
        <f t="shared" si="3"/>
        <v>0</v>
      </c>
    </row>
    <row r="21" spans="2:25" x14ac:dyDescent="0.3">
      <c r="B21" s="3">
        <v>13</v>
      </c>
      <c r="C21" s="20"/>
      <c r="D21" s="22"/>
      <c r="E21" s="22"/>
      <c r="F21" s="22"/>
      <c r="H21" s="5"/>
      <c r="S21" s="15"/>
      <c r="U21" s="22">
        <f t="shared" si="0"/>
        <v>13</v>
      </c>
      <c r="V21" s="59">
        <f t="shared" si="1"/>
        <v>0</v>
      </c>
      <c r="W21" s="59" t="str">
        <f t="shared" si="2"/>
        <v/>
      </c>
      <c r="X21" s="59"/>
      <c r="Y21" s="59">
        <f t="shared" si="3"/>
        <v>0</v>
      </c>
    </row>
    <row r="22" spans="2:25" x14ac:dyDescent="0.3">
      <c r="B22" s="3">
        <v>14</v>
      </c>
      <c r="C22" s="20"/>
      <c r="D22" s="22"/>
      <c r="E22" s="22"/>
      <c r="F22" s="22"/>
      <c r="H22" s="5"/>
      <c r="S22" s="15"/>
      <c r="U22" s="22">
        <f t="shared" si="0"/>
        <v>14</v>
      </c>
      <c r="V22" s="59">
        <f t="shared" si="1"/>
        <v>0</v>
      </c>
      <c r="W22" s="59" t="str">
        <f t="shared" si="2"/>
        <v/>
      </c>
      <c r="X22" s="59"/>
      <c r="Y22" s="59">
        <f t="shared" si="3"/>
        <v>0</v>
      </c>
    </row>
    <row r="23" spans="2:25" x14ac:dyDescent="0.3">
      <c r="B23" s="3">
        <v>15</v>
      </c>
      <c r="C23" s="20"/>
      <c r="D23" s="22"/>
      <c r="E23" s="22"/>
      <c r="F23" s="22"/>
      <c r="H23" s="5"/>
      <c r="S23" s="15"/>
      <c r="U23" s="22">
        <f t="shared" si="0"/>
        <v>15</v>
      </c>
      <c r="V23" s="59">
        <f t="shared" si="1"/>
        <v>0</v>
      </c>
      <c r="W23" s="59" t="str">
        <f t="shared" si="2"/>
        <v/>
      </c>
      <c r="X23" s="59"/>
      <c r="Y23" s="59">
        <f t="shared" si="3"/>
        <v>0</v>
      </c>
    </row>
    <row r="24" spans="2:25" x14ac:dyDescent="0.3">
      <c r="B24" s="3">
        <v>16</v>
      </c>
      <c r="C24" s="20"/>
      <c r="D24" s="22"/>
      <c r="E24" s="22"/>
      <c r="F24" s="22"/>
      <c r="H24" s="5"/>
      <c r="L24" s="3" t="s">
        <v>10</v>
      </c>
      <c r="S24" s="15"/>
      <c r="U24" s="22">
        <f t="shared" si="0"/>
        <v>16</v>
      </c>
      <c r="V24" s="59">
        <f t="shared" si="1"/>
        <v>0</v>
      </c>
      <c r="W24" s="59" t="str">
        <f t="shared" si="2"/>
        <v/>
      </c>
      <c r="X24" s="59"/>
      <c r="Y24" s="59">
        <f t="shared" si="3"/>
        <v>0</v>
      </c>
    </row>
    <row r="25" spans="2:25" x14ac:dyDescent="0.3">
      <c r="B25" s="3">
        <v>17</v>
      </c>
      <c r="C25" s="20"/>
      <c r="D25" s="22"/>
      <c r="E25" s="22"/>
      <c r="F25" s="22"/>
      <c r="H25" s="5"/>
      <c r="L25" s="12" t="s">
        <v>26</v>
      </c>
      <c r="M25" s="3">
        <v>1</v>
      </c>
      <c r="S25" s="15"/>
      <c r="U25" s="22">
        <f t="shared" si="0"/>
        <v>17</v>
      </c>
      <c r="V25" s="59">
        <f t="shared" si="1"/>
        <v>0</v>
      </c>
      <c r="W25" s="59" t="str">
        <f t="shared" si="2"/>
        <v/>
      </c>
      <c r="X25" s="59"/>
      <c r="Y25" s="59">
        <f t="shared" si="3"/>
        <v>0</v>
      </c>
    </row>
    <row r="26" spans="2:25" x14ac:dyDescent="0.3">
      <c r="B26" s="3">
        <v>18</v>
      </c>
      <c r="C26" s="20"/>
      <c r="D26" s="22"/>
      <c r="E26" s="22"/>
      <c r="F26" s="22"/>
      <c r="H26" s="5"/>
      <c r="L26" s="12" t="s">
        <v>27</v>
      </c>
      <c r="M26" s="3">
        <v>0</v>
      </c>
      <c r="S26" s="15"/>
      <c r="U26" s="22">
        <f t="shared" si="0"/>
        <v>18</v>
      </c>
      <c r="V26" s="59">
        <f t="shared" si="1"/>
        <v>0</v>
      </c>
      <c r="W26" s="59" t="str">
        <f t="shared" si="2"/>
        <v/>
      </c>
      <c r="X26" s="59"/>
      <c r="Y26" s="59">
        <f t="shared" si="3"/>
        <v>0</v>
      </c>
    </row>
    <row r="27" spans="2:25" x14ac:dyDescent="0.3">
      <c r="B27" s="3">
        <v>19</v>
      </c>
      <c r="C27" s="20"/>
      <c r="D27" s="22"/>
      <c r="E27" s="22"/>
      <c r="F27" s="22"/>
      <c r="H27" s="5"/>
      <c r="L27" s="12" t="s">
        <v>28</v>
      </c>
      <c r="M27" s="3">
        <v>0</v>
      </c>
      <c r="S27" s="15"/>
      <c r="U27" s="22">
        <f t="shared" si="0"/>
        <v>19</v>
      </c>
      <c r="V27" s="59">
        <f t="shared" si="1"/>
        <v>0</v>
      </c>
      <c r="W27" s="59" t="str">
        <f t="shared" si="2"/>
        <v/>
      </c>
      <c r="X27" s="59"/>
      <c r="Y27" s="59">
        <f t="shared" si="3"/>
        <v>0</v>
      </c>
    </row>
    <row r="28" spans="2:25" x14ac:dyDescent="0.3">
      <c r="B28" s="3">
        <v>20</v>
      </c>
      <c r="C28" s="20"/>
      <c r="D28" s="22"/>
      <c r="E28" s="22"/>
      <c r="F28" s="22"/>
      <c r="H28" s="5"/>
      <c r="L28" s="12" t="s">
        <v>29</v>
      </c>
      <c r="M28" s="3">
        <v>0</v>
      </c>
      <c r="S28" s="15"/>
      <c r="U28" s="22">
        <f t="shared" si="0"/>
        <v>20</v>
      </c>
      <c r="V28" s="59">
        <f t="shared" si="1"/>
        <v>0</v>
      </c>
      <c r="W28" s="59" t="str">
        <f t="shared" si="2"/>
        <v/>
      </c>
      <c r="X28" s="59"/>
      <c r="Y28" s="59">
        <f t="shared" si="3"/>
        <v>0</v>
      </c>
    </row>
    <row r="29" spans="2:25" x14ac:dyDescent="0.3">
      <c r="D29" s="9"/>
      <c r="H29" s="5"/>
      <c r="S29" s="15"/>
    </row>
    <row r="30" spans="2:25" x14ac:dyDescent="0.3">
      <c r="B30" s="3" t="s">
        <v>2</v>
      </c>
      <c r="C30" s="32">
        <v>6</v>
      </c>
      <c r="D30" s="34"/>
      <c r="E30" s="34"/>
      <c r="H30" s="5"/>
      <c r="S30" s="15"/>
    </row>
    <row r="31" spans="2:25" x14ac:dyDescent="0.3">
      <c r="C31" s="34"/>
      <c r="D31" s="34"/>
      <c r="E31" s="34"/>
      <c r="H31" s="16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7"/>
    </row>
    <row r="32" spans="2:25" x14ac:dyDescent="0.3">
      <c r="B32" t="s">
        <v>8</v>
      </c>
      <c r="C32" s="34"/>
      <c r="D32" s="34"/>
      <c r="E32" s="34"/>
      <c r="H32" s="9"/>
    </row>
    <row r="33" spans="2:19" x14ac:dyDescent="0.3">
      <c r="B33" s="18">
        <v>1</v>
      </c>
      <c r="C33" s="20" t="str">
        <f t="shared" ref="C33:E33" si="4">C9</f>
        <v>MOVE</v>
      </c>
      <c r="D33" s="20">
        <f t="shared" si="4"/>
        <v>1</v>
      </c>
      <c r="E33" s="21" t="str">
        <f t="shared" si="4"/>
        <v>R1</v>
      </c>
      <c r="P33" s="52" t="s">
        <v>41</v>
      </c>
      <c r="Q33" s="52"/>
    </row>
    <row r="34" spans="2:19" x14ac:dyDescent="0.3">
      <c r="B34" s="18">
        <v>2</v>
      </c>
      <c r="C34" s="20" t="str">
        <f t="shared" ref="C34:E34" si="5">C10</f>
        <v>JNZ</v>
      </c>
      <c r="D34" s="20">
        <f t="shared" si="5"/>
        <v>4</v>
      </c>
      <c r="E34" s="21">
        <f t="shared" si="5"/>
        <v>0</v>
      </c>
      <c r="P34" s="53">
        <v>0</v>
      </c>
      <c r="Q34" s="53"/>
    </row>
    <row r="35" spans="2:19" x14ac:dyDescent="0.3">
      <c r="B35" s="18">
        <v>3</v>
      </c>
      <c r="C35" s="20" t="str">
        <f t="shared" ref="C35:E35" si="6">C11</f>
        <v>MOVE</v>
      </c>
      <c r="D35" s="20">
        <f t="shared" si="6"/>
        <v>1</v>
      </c>
      <c r="E35" s="21" t="str">
        <f t="shared" si="6"/>
        <v>R1</v>
      </c>
      <c r="P35" s="54"/>
      <c r="Q35" s="54"/>
    </row>
    <row r="36" spans="2:19" x14ac:dyDescent="0.3">
      <c r="B36" s="18">
        <v>4</v>
      </c>
      <c r="C36" s="20" t="str">
        <f t="shared" ref="C36:E36" si="7">C12</f>
        <v>MOVE</v>
      </c>
      <c r="D36" s="20" t="str">
        <f t="shared" si="7"/>
        <v>TECLADO</v>
      </c>
      <c r="E36" s="21" t="str">
        <f t="shared" si="7"/>
        <v>R2</v>
      </c>
      <c r="M36" s="8" t="s">
        <v>34</v>
      </c>
      <c r="N36" s="8"/>
    </row>
    <row r="37" spans="2:19" x14ac:dyDescent="0.3">
      <c r="B37" s="18">
        <v>5</v>
      </c>
      <c r="C37" s="20" t="str">
        <f t="shared" ref="C37:E37" si="8">C13</f>
        <v>IRET</v>
      </c>
      <c r="D37" s="20">
        <f t="shared" si="8"/>
        <v>0</v>
      </c>
      <c r="E37" s="21">
        <f t="shared" si="8"/>
        <v>0</v>
      </c>
      <c r="H37" t="s">
        <v>19</v>
      </c>
      <c r="M37" s="28"/>
      <c r="N37" s="29"/>
    </row>
    <row r="38" spans="2:19" x14ac:dyDescent="0.3">
      <c r="B38" s="18">
        <v>6</v>
      </c>
      <c r="C38" s="20" t="str">
        <f t="shared" ref="C38:E38" si="9">C14</f>
        <v>HALT</v>
      </c>
      <c r="D38" s="20">
        <f t="shared" si="9"/>
        <v>0</v>
      </c>
      <c r="E38" s="21">
        <f t="shared" si="9"/>
        <v>0</v>
      </c>
      <c r="H38" s="22" t="s">
        <v>39</v>
      </c>
      <c r="I38" s="23"/>
      <c r="J38" s="20"/>
      <c r="K38" s="21" t="s">
        <v>39</v>
      </c>
      <c r="M38" s="3" t="s">
        <v>33</v>
      </c>
      <c r="N38" s="26"/>
    </row>
    <row r="39" spans="2:19" x14ac:dyDescent="0.3">
      <c r="B39" s="18">
        <v>7</v>
      </c>
      <c r="C39" s="20">
        <f t="shared" ref="C39:E39" si="10">C15</f>
        <v>0</v>
      </c>
      <c r="D39" s="20">
        <f t="shared" si="10"/>
        <v>0</v>
      </c>
      <c r="E39" s="21">
        <f t="shared" si="10"/>
        <v>0</v>
      </c>
      <c r="H39" s="33" t="s">
        <v>46</v>
      </c>
      <c r="I39" s="61"/>
      <c r="J39" s="30"/>
      <c r="K39" s="62" t="s">
        <v>46</v>
      </c>
      <c r="M39" s="3" t="s">
        <v>32</v>
      </c>
      <c r="N39" s="56">
        <v>112</v>
      </c>
      <c r="O39" s="12" t="s">
        <v>35</v>
      </c>
    </row>
    <row r="40" spans="2:19" x14ac:dyDescent="0.3">
      <c r="B40" s="18">
        <v>8</v>
      </c>
      <c r="C40" s="20">
        <f t="shared" ref="C40:E40" si="11">C16</f>
        <v>0</v>
      </c>
      <c r="D40" s="20">
        <f t="shared" si="11"/>
        <v>0</v>
      </c>
      <c r="E40" s="21">
        <f t="shared" si="11"/>
        <v>0</v>
      </c>
      <c r="H40" s="22"/>
      <c r="I40" s="23"/>
      <c r="J40" s="20"/>
      <c r="K40" s="21"/>
      <c r="M40" s="3" t="s">
        <v>31</v>
      </c>
      <c r="N40" s="55">
        <v>1</v>
      </c>
      <c r="R40" s="49" t="s">
        <v>36</v>
      </c>
      <c r="S40" s="50"/>
    </row>
    <row r="41" spans="2:19" x14ac:dyDescent="0.3">
      <c r="B41" s="18">
        <v>9</v>
      </c>
      <c r="C41" s="20">
        <f t="shared" ref="C41:E43" si="12">C17</f>
        <v>0</v>
      </c>
      <c r="D41" s="20">
        <f t="shared" si="12"/>
        <v>0</v>
      </c>
      <c r="E41" s="21">
        <f>E17</f>
        <v>0</v>
      </c>
      <c r="H41" s="22"/>
      <c r="I41" s="23"/>
      <c r="J41" s="20"/>
      <c r="K41" s="21"/>
      <c r="N41" s="27"/>
      <c r="R41" s="46" t="s">
        <v>38</v>
      </c>
      <c r="S41" s="47"/>
    </row>
    <row r="42" spans="2:19" x14ac:dyDescent="0.3">
      <c r="B42" s="18">
        <v>10</v>
      </c>
      <c r="C42" s="20">
        <f t="shared" si="12"/>
        <v>0</v>
      </c>
      <c r="D42" s="20">
        <f t="shared" si="12"/>
        <v>0</v>
      </c>
      <c r="E42" s="21">
        <f t="shared" si="12"/>
        <v>0</v>
      </c>
      <c r="N42" s="27"/>
    </row>
    <row r="43" spans="2:19" x14ac:dyDescent="0.3">
      <c r="B43" s="18">
        <v>11</v>
      </c>
      <c r="C43" s="20">
        <f t="shared" si="12"/>
        <v>0</v>
      </c>
      <c r="D43" s="20">
        <f t="shared" si="12"/>
        <v>0</v>
      </c>
      <c r="E43" s="21">
        <f t="shared" si="12"/>
        <v>0</v>
      </c>
      <c r="N43" s="35">
        <v>1</v>
      </c>
    </row>
    <row r="44" spans="2:19" x14ac:dyDescent="0.3">
      <c r="B44" s="18">
        <v>12</v>
      </c>
      <c r="C44" s="20">
        <f>C20</f>
        <v>0</v>
      </c>
      <c r="D44" s="20">
        <f>D20</f>
        <v>0</v>
      </c>
      <c r="E44" s="21">
        <f>E20</f>
        <v>0</v>
      </c>
      <c r="G44" s="60"/>
      <c r="N44">
        <v>9</v>
      </c>
    </row>
    <row r="46" spans="2:19" x14ac:dyDescent="0.3">
      <c r="B46" t="s">
        <v>9</v>
      </c>
    </row>
    <row r="47" spans="2:19" x14ac:dyDescent="0.3">
      <c r="B47" s="18">
        <v>1</v>
      </c>
      <c r="C47" s="22" t="s">
        <v>30</v>
      </c>
      <c r="D47" s="22">
        <v>1</v>
      </c>
      <c r="E47" s="22" t="s">
        <v>40</v>
      </c>
      <c r="N47" s="48" t="s">
        <v>32</v>
      </c>
      <c r="O47" s="39"/>
      <c r="P47" s="46"/>
      <c r="Q47" s="47"/>
    </row>
    <row r="48" spans="2:19" x14ac:dyDescent="0.3">
      <c r="B48" s="18">
        <v>2</v>
      </c>
      <c r="C48" s="22" t="s">
        <v>44</v>
      </c>
      <c r="D48" s="22">
        <v>4</v>
      </c>
      <c r="E48" s="22"/>
      <c r="N48" s="46" t="s">
        <v>31</v>
      </c>
      <c r="O48" s="47"/>
      <c r="P48" s="51"/>
      <c r="Q48" s="50"/>
    </row>
    <row r="49" spans="2:21" x14ac:dyDescent="0.3">
      <c r="B49" s="18">
        <v>3</v>
      </c>
      <c r="C49" s="22" t="s">
        <v>30</v>
      </c>
      <c r="D49" s="22">
        <v>1</v>
      </c>
      <c r="E49" s="22" t="s">
        <v>40</v>
      </c>
    </row>
    <row r="50" spans="2:21" x14ac:dyDescent="0.3">
      <c r="B50" s="18">
        <v>4</v>
      </c>
      <c r="C50" s="22" t="s">
        <v>30</v>
      </c>
      <c r="D50" s="22" t="s">
        <v>34</v>
      </c>
      <c r="E50" s="22" t="s">
        <v>45</v>
      </c>
      <c r="R50" s="49" t="s">
        <v>37</v>
      </c>
      <c r="S50" s="50"/>
    </row>
    <row r="51" spans="2:21" x14ac:dyDescent="0.3">
      <c r="B51" s="18">
        <v>5</v>
      </c>
      <c r="C51" s="22" t="s">
        <v>39</v>
      </c>
      <c r="D51" s="22"/>
      <c r="E51" s="22"/>
      <c r="R51" s="37"/>
      <c r="S51" s="38"/>
      <c r="T51" s="38"/>
      <c r="U51" s="39"/>
    </row>
    <row r="52" spans="2:21" x14ac:dyDescent="0.3">
      <c r="B52" s="18">
        <v>6</v>
      </c>
      <c r="C52" s="22" t="s">
        <v>46</v>
      </c>
      <c r="D52" s="22"/>
      <c r="E52" s="22"/>
      <c r="R52" s="40"/>
      <c r="S52" s="41"/>
      <c r="T52" s="41"/>
      <c r="U52" s="42"/>
    </row>
    <row r="53" spans="2:21" x14ac:dyDescent="0.3">
      <c r="B53" s="18">
        <v>7</v>
      </c>
      <c r="C53" s="22"/>
      <c r="D53" s="22"/>
      <c r="E53" s="22"/>
      <c r="R53" s="40"/>
      <c r="S53" s="41"/>
      <c r="T53" s="41"/>
      <c r="U53" s="42"/>
    </row>
    <row r="54" spans="2:21" x14ac:dyDescent="0.3">
      <c r="B54" s="18">
        <v>8</v>
      </c>
      <c r="C54" s="22"/>
      <c r="D54" s="22"/>
      <c r="E54" s="22"/>
      <c r="R54" s="43"/>
      <c r="S54" s="44"/>
      <c r="T54" s="44"/>
      <c r="U54" s="45"/>
    </row>
    <row r="55" spans="2:21" x14ac:dyDescent="0.3">
      <c r="B55" s="18">
        <v>9</v>
      </c>
      <c r="C55" s="36"/>
      <c r="D55" s="36"/>
      <c r="E55" s="36"/>
    </row>
    <row r="56" spans="2:21" x14ac:dyDescent="0.3">
      <c r="B56" s="18">
        <v>10</v>
      </c>
      <c r="C56" s="36"/>
      <c r="D56" s="36"/>
      <c r="E56" s="36"/>
    </row>
    <row r="57" spans="2:21" x14ac:dyDescent="0.3">
      <c r="B57" s="18">
        <v>11</v>
      </c>
      <c r="C57" s="36"/>
      <c r="D57" s="36"/>
      <c r="E57" s="36"/>
    </row>
    <row r="58" spans="2:21" x14ac:dyDescent="0.3">
      <c r="B58" s="18">
        <v>12</v>
      </c>
      <c r="C58" s="36"/>
      <c r="D58" s="36"/>
      <c r="E58" s="36"/>
    </row>
    <row r="59" spans="2:21" x14ac:dyDescent="0.3">
      <c r="B59" s="18">
        <v>13</v>
      </c>
      <c r="C59" s="36"/>
      <c r="D59" s="36"/>
      <c r="E59" s="36"/>
    </row>
    <row r="60" spans="2:21" x14ac:dyDescent="0.3">
      <c r="B60" s="18">
        <v>14</v>
      </c>
      <c r="C60" s="36"/>
      <c r="D60" s="36"/>
      <c r="E60" s="36"/>
    </row>
    <row r="61" spans="2:21" x14ac:dyDescent="0.3">
      <c r="B61" s="18">
        <v>15</v>
      </c>
      <c r="C61" s="36"/>
      <c r="D61" s="36"/>
      <c r="E61" s="36"/>
    </row>
    <row r="62" spans="2:21" x14ac:dyDescent="0.3">
      <c r="B62" s="18">
        <v>16</v>
      </c>
      <c r="C62" s="36"/>
      <c r="D62" s="36"/>
      <c r="E62" s="36"/>
    </row>
    <row r="63" spans="2:21" x14ac:dyDescent="0.3">
      <c r="B63" s="18">
        <v>17</v>
      </c>
      <c r="C63" s="36"/>
      <c r="D63" s="36"/>
      <c r="E63" s="36"/>
    </row>
    <row r="64" spans="2:21" x14ac:dyDescent="0.3">
      <c r="B64" s="18">
        <v>18</v>
      </c>
      <c r="C64" s="36"/>
      <c r="D64" s="36"/>
      <c r="E64" s="36"/>
    </row>
    <row r="65" spans="2:5" x14ac:dyDescent="0.3">
      <c r="B65" s="18">
        <v>19</v>
      </c>
      <c r="C65" s="36"/>
      <c r="D65" s="36"/>
      <c r="E65" s="36"/>
    </row>
    <row r="66" spans="2:5" x14ac:dyDescent="0.3">
      <c r="B66" s="18">
        <v>20</v>
      </c>
      <c r="C66" s="36"/>
      <c r="D66" s="36"/>
      <c r="E66" s="36"/>
    </row>
  </sheetData>
  <mergeCells count="12">
    <mergeCell ref="R51:U54"/>
    <mergeCell ref="P13:Q13"/>
    <mergeCell ref="N47:O47"/>
    <mergeCell ref="N48:O48"/>
    <mergeCell ref="R50:S50"/>
    <mergeCell ref="R40:S40"/>
    <mergeCell ref="R41:S41"/>
    <mergeCell ref="P48:Q48"/>
    <mergeCell ref="P47:Q47"/>
    <mergeCell ref="P33:Q33"/>
    <mergeCell ref="P34:Q34"/>
    <mergeCell ref="P35:Q35"/>
  </mergeCells>
  <phoneticPr fontId="5" type="noConversion"/>
  <conditionalFormatting sqref="P14:P17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3">
    <dataValidation type="list" allowBlank="1" showInputMessage="1" sqref="D9:D28" xr:uid="{79E765CC-DBA1-4718-A086-D5EE6D44F26C}">
      <formula1>"ENTRADA_A, ENTRADA_B, R1, R2, R3, R4, ACUMULADOR, SALIDA, TECLADO, VRAM"</formula1>
    </dataValidation>
    <dataValidation type="list" allowBlank="1" showInputMessage="1" sqref="E9:E28" xr:uid="{B252EF60-3B26-465C-A1B0-C6B91A5D9B96}">
      <formula1>"R1, R2, R3, R4, ACUMULADOR, SALIDA,MONITOR"</formula1>
    </dataValidation>
    <dataValidation type="list" allowBlank="1" showInputMessage="1" showErrorMessage="1" sqref="F9:F28" xr:uid="{BAE96A33-F837-497A-8172-2419E1E04E2A}">
      <formula1>"MOVE, SUMA, RESTA, AND, OR, VRAM, IRET, JZ, JN, JMP, JNZ, HALT"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imularPipelineDinamico">
                <anchor moveWithCells="1" sizeWithCells="1">
                  <from>
                    <xdr:col>19</xdr:col>
                    <xdr:colOff>777240</xdr:colOff>
                    <xdr:row>0</xdr:row>
                    <xdr:rowOff>167640</xdr:rowOff>
                  </from>
                  <to>
                    <xdr:col>22</xdr:col>
                    <xdr:colOff>7620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Mijael Ander</cp:lastModifiedBy>
  <dcterms:created xsi:type="dcterms:W3CDTF">2025-09-30T21:35:01Z</dcterms:created>
  <dcterms:modified xsi:type="dcterms:W3CDTF">2025-12-19T16:03:03Z</dcterms:modified>
</cp:coreProperties>
</file>